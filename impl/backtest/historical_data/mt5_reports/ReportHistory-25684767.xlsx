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f5d1ae54542958c/Escritorio/"/>
    </mc:Choice>
  </mc:AlternateContent>
  <xr:revisionPtr revIDLastSave="0" documentId="11_87F1C1DC8F5556895E1BCCF8460A1D9F81F01400" xr6:coauthVersionLast="47" xr6:coauthVersionMax="47" xr10:uidLastSave="{00000000-0000-0000-0000-000000000000}"/>
  <bookViews>
    <workbookView xWindow="3773" yWindow="2927" windowWidth="19200" windowHeight="9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7" i="1" l="1"/>
  <c r="J67" i="1"/>
  <c r="I67" i="1"/>
</calcChain>
</file>

<file path=xl/sharedStrings.xml><?xml version="1.0" encoding="utf-8"?>
<sst xmlns="http://schemas.openxmlformats.org/spreadsheetml/2006/main" count="446" uniqueCount="137">
  <si>
    <t>Trade History Report</t>
  </si>
  <si>
    <t>Name:</t>
  </si>
  <si>
    <t>client</t>
  </si>
  <si>
    <t>Account:</t>
  </si>
  <si>
    <t>25684767 (USD, VantageMarkets-Demo, demo, Hedge)</t>
  </si>
  <si>
    <t>Company:</t>
  </si>
  <si>
    <t>Vantage Markets (Pty) Ltd</t>
  </si>
  <si>
    <t>Date:</t>
  </si>
  <si>
    <t>2026.07.06 17:21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</si>
  <si>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</si>
  <si>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</si>
  <si>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</si>
  <si>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</si>
  <si>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</si>
  <si>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</si>
  <si>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</si>
  <si>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</si>
  <si>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</si>
  <si>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</si>
  <si>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</si>
  <si>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</si>
  <si>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2026.07.06 17:36:00</t>
  </si>
  <si>
    <t>SP500</t>
  </si>
  <si>
    <t>sell</t>
  </si>
  <si>
    <t>0.8</t>
  </si>
  <si>
    <t>2026.07.06 17:41:35</t>
  </si>
  <si>
    <t>2026.07.06 17:36:01</t>
  </si>
  <si>
    <t>USOUSD</t>
  </si>
  <si>
    <t>0.04</t>
  </si>
  <si>
    <t>2026.07.06 17:37:39</t>
  </si>
  <si>
    <t>BTCUSD</t>
  </si>
  <si>
    <t>0.02</t>
  </si>
  <si>
    <t>2026.07.06 17:40:46</t>
  </si>
  <si>
    <t>2026.07.06 17:38:01</t>
  </si>
  <si>
    <t>ETHUSD</t>
  </si>
  <si>
    <t>0.59</t>
  </si>
  <si>
    <t>2026.07.06 17:38:50</t>
  </si>
  <si>
    <t>2026.07.06 17:39:00</t>
  </si>
  <si>
    <t>NAS100</t>
  </si>
  <si>
    <t>0.1</t>
  </si>
  <si>
    <t>2026.07.06 17:42:35</t>
  </si>
  <si>
    <t>2026.07.06 18:02:00</t>
  </si>
  <si>
    <t>XAUUSD+</t>
  </si>
  <si>
    <t>buy</t>
  </si>
  <si>
    <t>0.01</t>
  </si>
  <si>
    <t>2026.07.06 18:02:58</t>
  </si>
  <si>
    <t>0.2</t>
  </si>
  <si>
    <t>2026.07.06 18:05:06</t>
  </si>
  <si>
    <t>2026.07.06 18:02:02</t>
  </si>
  <si>
    <t>0.6</t>
  </si>
  <si>
    <t>2026.07.06 18:13:26</t>
  </si>
  <si>
    <t>2026.07.06 18:06:42</t>
  </si>
  <si>
    <t>0.57</t>
  </si>
  <si>
    <t>2026.07.06 18:09:07</t>
  </si>
  <si>
    <t>2026.07.06 18:03:01</t>
  </si>
  <si>
    <t>0.03</t>
  </si>
  <si>
    <t>2026.07.06 18:03:28</t>
  </si>
  <si>
    <t>Orders</t>
  </si>
  <si>
    <t>Open Time</t>
  </si>
  <si>
    <t>Order</t>
  </si>
  <si>
    <t>State</t>
  </si>
  <si>
    <t>Comment</t>
  </si>
  <si>
    <t>0.8 / 0.8</t>
  </si>
  <si>
    <t>market</t>
  </si>
  <si>
    <t>filled</t>
  </si>
  <si>
    <t>999001-MKT</t>
  </si>
  <si>
    <t>0.04 / 0.04</t>
  </si>
  <si>
    <t>0.02 / 0.02</t>
  </si>
  <si>
    <t>[sl 69.226]</t>
  </si>
  <si>
    <t>0.59 / 0.59</t>
  </si>
  <si>
    <t>[sl 1754.50]</t>
  </si>
  <si>
    <t>0.1 / 0.1</t>
  </si>
  <si>
    <t>[sl 62183.26]</t>
  </si>
  <si>
    <t>[tp 7531.95]</t>
  </si>
  <si>
    <t>[tp 29789.75]</t>
  </si>
  <si>
    <t>0.01 / 0.01</t>
  </si>
  <si>
    <t>0.2 / 0.2</t>
  </si>
  <si>
    <t>0.6 / 0.6</t>
  </si>
  <si>
    <t>0.57 / 0.57</t>
  </si>
  <si>
    <t>[tp 4140.09]</t>
  </si>
  <si>
    <t>0.03 / 0.03</t>
  </si>
  <si>
    <t>[sl 69.010]</t>
  </si>
  <si>
    <t>[sl 29814.00]</t>
  </si>
  <si>
    <t>[tp 62324.60]</t>
  </si>
  <si>
    <t>[tp 1760.74]</t>
  </si>
  <si>
    <t>[sl 7537.20]</t>
  </si>
  <si>
    <t>Deals</t>
  </si>
  <si>
    <t>Deal</t>
  </si>
  <si>
    <t>Direction</t>
  </si>
  <si>
    <t>Fee</t>
  </si>
  <si>
    <t>Balance</t>
  </si>
  <si>
    <t>in</t>
  </si>
  <si>
    <t>out</t>
  </si>
  <si>
    <t>Balance:</t>
  </si>
  <si>
    <t>Free Margin:</t>
  </si>
  <si>
    <t>Credit Facility:</t>
  </si>
  <si>
    <t>Margin:</t>
  </si>
  <si>
    <t>Floating P/L:</t>
  </si>
  <si>
    <t>Margin Level:</t>
  </si>
  <si>
    <t>Equity:</t>
  </si>
  <si>
    <t>Results</t>
  </si>
  <si>
    <t>Total Net Profit:</t>
  </si>
  <si>
    <t>Gross Profit:</t>
  </si>
  <si>
    <t>Gross Loss:</t>
  </si>
  <si>
    <t>Profit Factor:</t>
  </si>
  <si>
    <t>Expected Payoff:</t>
  </si>
  <si>
    <t>Recovery Factor:</t>
  </si>
  <si>
    <t>Sharpe Ratio:</t>
  </si>
  <si>
    <t>Balance Drawdown:</t>
  </si>
  <si>
    <t>Balance Drawdown Absolute:</t>
  </si>
  <si>
    <t>Balance Drawdown Maximal:</t>
  </si>
  <si>
    <t>8.93 (0.89%)</t>
  </si>
  <si>
    <t>Balance Drawdown Relative:</t>
  </si>
  <si>
    <t>0.89% (8.93)</t>
  </si>
  <si>
    <t>Total Trades:</t>
  </si>
  <si>
    <t>Short Trades (won %):</t>
  </si>
  <si>
    <t>5 (40.00%)</t>
  </si>
  <si>
    <t>Long Trades (won %):</t>
  </si>
  <si>
    <t>6 (50.00%)</t>
  </si>
  <si>
    <t>Profit Trades (% of total):</t>
  </si>
  <si>
    <t>5 (45.45%)</t>
  </si>
  <si>
    <t>Loss Trades (% of total):</t>
  </si>
  <si>
    <t>6 (54.55%)</t>
  </si>
  <si>
    <t>Largest profit trade:</t>
  </si>
  <si>
    <t>Largest loss trade:</t>
  </si>
  <si>
    <t>Average profit trade:</t>
  </si>
  <si>
    <t>Average loss trade:</t>
  </si>
  <si>
    <t>Maximum consecutive wins ($):</t>
  </si>
  <si>
    <t>3 (7.03)</t>
  </si>
  <si>
    <t>Maximum consecutive losses ($):</t>
  </si>
  <si>
    <t>3 (-8.93)</t>
  </si>
  <si>
    <t>Maximal consecutive profit (count):</t>
  </si>
  <si>
    <t>7.03 (3)</t>
  </si>
  <si>
    <t>Maximal consecutive loss (count):</t>
  </si>
  <si>
    <t>-8.93 (3)</t>
  </si>
  <si>
    <t>Average consecutive wins:</t>
  </si>
  <si>
    <t>Average consecutive losses: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</si>
</sst>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\-###0;0;"/>
    <numFmt numFmtId="165" formatCode="#\ ##0.00;\-#\ ##0.00;0.00;"/>
    <numFmt numFmtId="166" formatCode="#\ ##0.000;\-#\ ##0.000;0.000;"/>
    <numFmt numFmtId="167" formatCode="#\ ##0.00%;\-#\ ##0.00%;0.00%;"/>
    <numFmt numFmtId="168" formatCode="#\ ##0;\-#\ 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5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8" fontId="4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Sheet1!$A$45:$A$66</c:f>
              <c:strCache>
                <c:ptCount val="22"/>
                <c:pt idx="0">
                  <c:v>2026.07.06 17:36:00</c:v>
                </c:pt>
                <c:pt idx="1">
                  <c:v>2026.07.06 17:36:01</c:v>
                </c:pt>
                <c:pt idx="2">
                  <c:v>2026.07.06 17:36:01</c:v>
                </c:pt>
                <c:pt idx="3">
                  <c:v>2026.07.06 17:37:39</c:v>
                </c:pt>
                <c:pt idx="4">
                  <c:v>2026.07.06 17:38:01</c:v>
                </c:pt>
                <c:pt idx="5">
                  <c:v>2026.07.06 17:38:50</c:v>
                </c:pt>
                <c:pt idx="6">
                  <c:v>2026.07.06 17:39:00</c:v>
                </c:pt>
                <c:pt idx="7">
                  <c:v>2026.07.06 17:40:46</c:v>
                </c:pt>
                <c:pt idx="8">
                  <c:v>2026.07.06 17:41:35</c:v>
                </c:pt>
                <c:pt idx="9">
                  <c:v>2026.07.06 17:42:35</c:v>
                </c:pt>
                <c:pt idx="10">
                  <c:v>2026.07.06 18:02:00</c:v>
                </c:pt>
                <c:pt idx="11">
                  <c:v>2026.07.06 18:02:00</c:v>
                </c:pt>
                <c:pt idx="12">
                  <c:v>2026.07.06 18:02:02</c:v>
                </c:pt>
                <c:pt idx="13">
                  <c:v>2026.07.06 18:02:02</c:v>
                </c:pt>
                <c:pt idx="14">
                  <c:v>2026.07.06 18:02:02</c:v>
                </c:pt>
                <c:pt idx="15">
                  <c:v>2026.07.06 18:02:58</c:v>
                </c:pt>
                <c:pt idx="16">
                  <c:v>2026.07.06 18:03:01</c:v>
                </c:pt>
                <c:pt idx="17">
                  <c:v>2026.07.06 18:03:28</c:v>
                </c:pt>
                <c:pt idx="18">
                  <c:v>2026.07.06 18:05:06</c:v>
                </c:pt>
                <c:pt idx="19">
                  <c:v>2026.07.06 18:06:42</c:v>
                </c:pt>
                <c:pt idx="20">
                  <c:v>2026.07.06 18:09:07</c:v>
                </c:pt>
                <c:pt idx="21">
                  <c:v>2026.07.06 18:13:26</c:v>
                </c:pt>
              </c:strCache>
            </c:strRef>
          </c:cat>
          <c:val>
            <c:numRef>
              <c:f>Sheet1!$M$45:$M$66</c:f>
              <c:numCache>
                <c:formatCode>#\ ##0.00;\-#\ ##0.00;0.00;</c:formatCode>
                <c:ptCount val="22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996.96</c:v>
                </c:pt>
                <c:pt idx="4">
                  <c:v>996.96</c:v>
                </c:pt>
                <c:pt idx="5">
                  <c:v>993.67</c:v>
                </c:pt>
                <c:pt idx="6">
                  <c:v>993.67</c:v>
                </c:pt>
                <c:pt idx="7">
                  <c:v>991.07</c:v>
                </c:pt>
                <c:pt idx="8">
                  <c:v>993.47</c:v>
                </c:pt>
                <c:pt idx="9">
                  <c:v>996.6</c:v>
                </c:pt>
                <c:pt idx="10">
                  <c:v>996.57</c:v>
                </c:pt>
                <c:pt idx="11">
                  <c:v>996.57</c:v>
                </c:pt>
                <c:pt idx="12">
                  <c:v>996.57</c:v>
                </c:pt>
                <c:pt idx="13">
                  <c:v>996.57</c:v>
                </c:pt>
                <c:pt idx="14">
                  <c:v>996.57</c:v>
                </c:pt>
                <c:pt idx="15">
                  <c:v>998.07</c:v>
                </c:pt>
                <c:pt idx="16">
                  <c:v>998.07</c:v>
                </c:pt>
                <c:pt idx="17">
                  <c:v>995.4</c:v>
                </c:pt>
                <c:pt idx="18">
                  <c:v>992.24</c:v>
                </c:pt>
                <c:pt idx="19">
                  <c:v>995.46</c:v>
                </c:pt>
                <c:pt idx="20">
                  <c:v>998.77</c:v>
                </c:pt>
                <c:pt idx="21">
                  <c:v>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4B-4F03-9470-07B210420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00"/>
          <c:min val="89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71</xdr:row>
      <xdr:rowOff>0</xdr:rowOff>
    </xdr:from>
    <xdr:to>
      <xdr:col>14</xdr:col>
      <xdr:colOff>0</xdr:colOff>
      <xdr:row>91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"/>
  <sheetViews>
    <sheetView tabSelected="1" topLeftCell="A13" workbookViewId="0">
      <selection activeCell="K67" sqref="K67"/>
    </sheetView>
  </sheetViews>
  <sheetFormatPr baseColWidth="10" defaultColWidth="8.88671875" defaultRowHeight="15" customHeight="1" x14ac:dyDescent="0.4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5" customHeight="1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4">
      <c r="A2" s="12" t="s">
        <v>1</v>
      </c>
      <c r="B2" s="12"/>
      <c r="C2" s="12"/>
      <c r="D2" s="13" t="s">
        <v>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4">
      <c r="A3" s="12" t="s">
        <v>3</v>
      </c>
      <c r="B3" s="12"/>
      <c r="C3" s="12"/>
      <c r="D3" s="13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4">
      <c r="A4" s="12" t="s">
        <v>5</v>
      </c>
      <c r="B4" s="12"/>
      <c r="C4" s="12"/>
      <c r="D4" s="13" t="s">
        <v>6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4">
      <c r="A5" s="12" t="s">
        <v>7</v>
      </c>
      <c r="B5" s="12"/>
      <c r="C5" s="12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5" customHeight="1" x14ac:dyDescent="0.4">
      <c r="A6" s="14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" customHeight="1" x14ac:dyDescent="0.4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10</v>
      </c>
      <c r="J7" s="1" t="s">
        <v>15</v>
      </c>
      <c r="K7" s="1" t="s">
        <v>18</v>
      </c>
      <c r="L7" s="1" t="s">
        <v>19</v>
      </c>
      <c r="M7" s="15" t="s">
        <v>20</v>
      </c>
      <c r="N7" s="15"/>
      <c r="O7" s="15"/>
    </row>
    <row r="8" spans="1:15" ht="15" customHeight="1" x14ac:dyDescent="0.4">
      <c r="A8" s="2" t="s">
        <v>21</v>
      </c>
      <c r="B8" s="3">
        <v>1545882664</v>
      </c>
      <c r="C8" s="2" t="s">
        <v>22</v>
      </c>
      <c r="D8" s="2" t="s">
        <v>23</v>
      </c>
      <c r="E8" s="2" t="s">
        <v>24</v>
      </c>
      <c r="F8" s="4">
        <v>7534.95</v>
      </c>
      <c r="G8" s="4">
        <v>7538.95</v>
      </c>
      <c r="H8" s="4">
        <v>7531.95</v>
      </c>
      <c r="I8" s="2" t="s">
        <v>25</v>
      </c>
      <c r="J8" s="4">
        <v>7531.95</v>
      </c>
      <c r="K8" s="4">
        <v>0</v>
      </c>
      <c r="L8" s="4">
        <v>0</v>
      </c>
      <c r="M8" s="16">
        <v>2.4</v>
      </c>
      <c r="N8" s="16"/>
      <c r="O8" s="16"/>
    </row>
    <row r="9" spans="1:15" ht="15" customHeight="1" x14ac:dyDescent="0.4">
      <c r="A9" s="5" t="s">
        <v>26</v>
      </c>
      <c r="B9" s="6">
        <v>1545882754</v>
      </c>
      <c r="C9" s="5" t="s">
        <v>27</v>
      </c>
      <c r="D9" s="5" t="s">
        <v>23</v>
      </c>
      <c r="E9" s="5" t="s">
        <v>28</v>
      </c>
      <c r="F9" s="7">
        <v>69.150000000000006</v>
      </c>
      <c r="G9" s="7">
        <v>69.225999999999999</v>
      </c>
      <c r="H9" s="7">
        <v>69.073999999999998</v>
      </c>
      <c r="I9" s="5" t="s">
        <v>29</v>
      </c>
      <c r="J9" s="7">
        <v>69.225999999999999</v>
      </c>
      <c r="K9" s="8">
        <v>0</v>
      </c>
      <c r="L9" s="8">
        <v>0</v>
      </c>
      <c r="M9" s="17">
        <v>-3.04</v>
      </c>
      <c r="N9" s="17"/>
      <c r="O9" s="17"/>
    </row>
    <row r="10" spans="1:15" ht="15" customHeight="1" x14ac:dyDescent="0.4">
      <c r="A10" s="2" t="s">
        <v>26</v>
      </c>
      <c r="B10" s="3">
        <v>1545882774</v>
      </c>
      <c r="C10" s="2" t="s">
        <v>30</v>
      </c>
      <c r="D10" s="2" t="s">
        <v>23</v>
      </c>
      <c r="E10" s="2" t="s">
        <v>31</v>
      </c>
      <c r="F10" s="4">
        <v>62053.7</v>
      </c>
      <c r="G10" s="4">
        <v>62183.26</v>
      </c>
      <c r="H10" s="4">
        <v>61911</v>
      </c>
      <c r="I10" s="2" t="s">
        <v>32</v>
      </c>
      <c r="J10" s="4">
        <v>62183.26</v>
      </c>
      <c r="K10" s="4">
        <v>0</v>
      </c>
      <c r="L10" s="4">
        <v>0</v>
      </c>
      <c r="M10" s="16">
        <v>-2.6</v>
      </c>
      <c r="N10" s="16"/>
      <c r="O10" s="16"/>
    </row>
    <row r="11" spans="1:15" ht="15" customHeight="1" x14ac:dyDescent="0.4">
      <c r="A11" s="5" t="s">
        <v>33</v>
      </c>
      <c r="B11" s="6">
        <v>1545891472</v>
      </c>
      <c r="C11" s="5" t="s">
        <v>34</v>
      </c>
      <c r="D11" s="5" t="s">
        <v>23</v>
      </c>
      <c r="E11" s="5" t="s">
        <v>35</v>
      </c>
      <c r="F11" s="8">
        <v>1748.94</v>
      </c>
      <c r="G11" s="8">
        <v>1754.5</v>
      </c>
      <c r="H11" s="8">
        <v>1743.34</v>
      </c>
      <c r="I11" s="5" t="s">
        <v>36</v>
      </c>
      <c r="J11" s="8">
        <v>1754.5</v>
      </c>
      <c r="K11" s="8">
        <v>0</v>
      </c>
      <c r="L11" s="8">
        <v>0</v>
      </c>
      <c r="M11" s="17">
        <v>-3.29</v>
      </c>
      <c r="N11" s="17"/>
      <c r="O11" s="17"/>
    </row>
    <row r="12" spans="1:15" ht="15" customHeight="1" x14ac:dyDescent="0.4">
      <c r="A12" s="2" t="s">
        <v>37</v>
      </c>
      <c r="B12" s="3">
        <v>1545897384</v>
      </c>
      <c r="C12" s="2" t="s">
        <v>38</v>
      </c>
      <c r="D12" s="2" t="s">
        <v>23</v>
      </c>
      <c r="E12" s="2" t="s">
        <v>39</v>
      </c>
      <c r="F12" s="4">
        <v>29821</v>
      </c>
      <c r="G12" s="4">
        <v>29852.25</v>
      </c>
      <c r="H12" s="4">
        <v>29789.75</v>
      </c>
      <c r="I12" s="2" t="s">
        <v>40</v>
      </c>
      <c r="J12" s="4">
        <v>29789.75</v>
      </c>
      <c r="K12" s="4">
        <v>0</v>
      </c>
      <c r="L12" s="4">
        <v>0</v>
      </c>
      <c r="M12" s="16">
        <v>3.13</v>
      </c>
      <c r="N12" s="16"/>
      <c r="O12" s="16"/>
    </row>
    <row r="13" spans="1:15" ht="15" customHeight="1" x14ac:dyDescent="0.4">
      <c r="A13" s="5" t="s">
        <v>41</v>
      </c>
      <c r="B13" s="6">
        <v>1546055955</v>
      </c>
      <c r="C13" s="5" t="s">
        <v>42</v>
      </c>
      <c r="D13" s="5" t="s">
        <v>43</v>
      </c>
      <c r="E13" s="5" t="s">
        <v>44</v>
      </c>
      <c r="F13" s="8">
        <v>4138.5600000000004</v>
      </c>
      <c r="G13" s="8">
        <v>4136.79</v>
      </c>
      <c r="H13" s="8">
        <v>4140.09</v>
      </c>
      <c r="I13" s="5" t="s">
        <v>45</v>
      </c>
      <c r="J13" s="8">
        <v>4140.09</v>
      </c>
      <c r="K13" s="8">
        <v>-0.06</v>
      </c>
      <c r="L13" s="8">
        <v>0</v>
      </c>
      <c r="M13" s="17">
        <v>1.53</v>
      </c>
      <c r="N13" s="17"/>
      <c r="O13" s="17"/>
    </row>
    <row r="14" spans="1:15" ht="15" customHeight="1" x14ac:dyDescent="0.4">
      <c r="A14" s="2" t="s">
        <v>41</v>
      </c>
      <c r="B14" s="3">
        <v>1546055972</v>
      </c>
      <c r="C14" s="2" t="s">
        <v>38</v>
      </c>
      <c r="D14" s="2" t="s">
        <v>43</v>
      </c>
      <c r="E14" s="2" t="s">
        <v>46</v>
      </c>
      <c r="F14" s="4">
        <v>29829.8</v>
      </c>
      <c r="G14" s="4">
        <v>29814</v>
      </c>
      <c r="H14" s="4">
        <v>29840.6</v>
      </c>
      <c r="I14" s="2" t="s">
        <v>47</v>
      </c>
      <c r="J14" s="4">
        <v>29814</v>
      </c>
      <c r="K14" s="4">
        <v>0</v>
      </c>
      <c r="L14" s="4">
        <v>0</v>
      </c>
      <c r="M14" s="16">
        <v>-3.16</v>
      </c>
      <c r="N14" s="16"/>
      <c r="O14" s="16"/>
    </row>
    <row r="15" spans="1:15" ht="15" customHeight="1" x14ac:dyDescent="0.4">
      <c r="A15" s="5" t="s">
        <v>48</v>
      </c>
      <c r="B15" s="6">
        <v>1546056195</v>
      </c>
      <c r="C15" s="5" t="s">
        <v>22</v>
      </c>
      <c r="D15" s="5" t="s">
        <v>43</v>
      </c>
      <c r="E15" s="5" t="s">
        <v>49</v>
      </c>
      <c r="F15" s="8">
        <v>7541.81</v>
      </c>
      <c r="G15" s="8">
        <v>7537.2</v>
      </c>
      <c r="H15" s="8">
        <v>7546.92</v>
      </c>
      <c r="I15" s="5" t="s">
        <v>50</v>
      </c>
      <c r="J15" s="8">
        <v>7537.2</v>
      </c>
      <c r="K15" s="8">
        <v>0</v>
      </c>
      <c r="L15" s="8">
        <v>0</v>
      </c>
      <c r="M15" s="17">
        <v>-2.77</v>
      </c>
      <c r="N15" s="17"/>
      <c r="O15" s="17"/>
    </row>
    <row r="16" spans="1:15" ht="15" customHeight="1" x14ac:dyDescent="0.4">
      <c r="A16" s="2" t="s">
        <v>48</v>
      </c>
      <c r="B16" s="3">
        <v>1546056214</v>
      </c>
      <c r="C16" s="2" t="s">
        <v>30</v>
      </c>
      <c r="D16" s="2" t="s">
        <v>43</v>
      </c>
      <c r="E16" s="2" t="s">
        <v>31</v>
      </c>
      <c r="F16" s="4">
        <v>62163.61</v>
      </c>
      <c r="G16" s="4">
        <v>61991.46</v>
      </c>
      <c r="H16" s="4">
        <v>62324.6</v>
      </c>
      <c r="I16" s="2" t="s">
        <v>51</v>
      </c>
      <c r="J16" s="4">
        <v>62324.6</v>
      </c>
      <c r="K16" s="4">
        <v>0</v>
      </c>
      <c r="L16" s="4">
        <v>0</v>
      </c>
      <c r="M16" s="16">
        <v>3.22</v>
      </c>
      <c r="N16" s="16"/>
      <c r="O16" s="16"/>
    </row>
    <row r="17" spans="1:15" ht="15" customHeight="1" x14ac:dyDescent="0.4">
      <c r="A17" s="5" t="s">
        <v>48</v>
      </c>
      <c r="B17" s="6">
        <v>1546056228</v>
      </c>
      <c r="C17" s="5" t="s">
        <v>34</v>
      </c>
      <c r="D17" s="5" t="s">
        <v>43</v>
      </c>
      <c r="E17" s="5" t="s">
        <v>52</v>
      </c>
      <c r="F17" s="8">
        <v>1754.93</v>
      </c>
      <c r="G17" s="8">
        <v>1748.92</v>
      </c>
      <c r="H17" s="8">
        <v>1760.74</v>
      </c>
      <c r="I17" s="5" t="s">
        <v>53</v>
      </c>
      <c r="J17" s="8">
        <v>1760.74</v>
      </c>
      <c r="K17" s="8">
        <v>0</v>
      </c>
      <c r="L17" s="8">
        <v>0</v>
      </c>
      <c r="M17" s="17">
        <v>3.31</v>
      </c>
      <c r="N17" s="17"/>
      <c r="O17" s="17"/>
    </row>
    <row r="18" spans="1:15" ht="15" customHeight="1" x14ac:dyDescent="0.4">
      <c r="A18" s="2" t="s">
        <v>54</v>
      </c>
      <c r="B18" s="3">
        <v>1546062628</v>
      </c>
      <c r="C18" s="2" t="s">
        <v>27</v>
      </c>
      <c r="D18" s="2" t="s">
        <v>43</v>
      </c>
      <c r="E18" s="2" t="s">
        <v>55</v>
      </c>
      <c r="F18" s="9">
        <v>69.099000000000004</v>
      </c>
      <c r="G18" s="9">
        <v>69.010000000000005</v>
      </c>
      <c r="H18" s="9">
        <v>69.188000000000002</v>
      </c>
      <c r="I18" s="2" t="s">
        <v>56</v>
      </c>
      <c r="J18" s="9">
        <v>69.010000000000005</v>
      </c>
      <c r="K18" s="4">
        <v>0</v>
      </c>
      <c r="L18" s="4">
        <v>0</v>
      </c>
      <c r="M18" s="16">
        <v>-2.67</v>
      </c>
      <c r="N18" s="16"/>
      <c r="O18" s="16"/>
    </row>
    <row r="19" spans="1:15" ht="25" customHeight="1" x14ac:dyDescent="0.4">
      <c r="A19" s="14" t="s">
        <v>57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ht="20" customHeight="1" x14ac:dyDescent="0.4">
      <c r="A20" s="1" t="s">
        <v>58</v>
      </c>
      <c r="B20" s="1" t="s">
        <v>59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10</v>
      </c>
      <c r="J20" s="15" t="s">
        <v>60</v>
      </c>
      <c r="K20" s="15"/>
      <c r="L20" s="15" t="s">
        <v>61</v>
      </c>
      <c r="M20" s="15"/>
      <c r="N20" s="15"/>
      <c r="O20" s="15"/>
    </row>
    <row r="21" spans="1:15" ht="15" customHeight="1" x14ac:dyDescent="0.4">
      <c r="A21" s="2" t="s">
        <v>21</v>
      </c>
      <c r="B21" s="3">
        <v>1545882664</v>
      </c>
      <c r="C21" s="2" t="s">
        <v>22</v>
      </c>
      <c r="D21" s="2" t="s">
        <v>23</v>
      </c>
      <c r="E21" s="2" t="s">
        <v>62</v>
      </c>
      <c r="F21" s="2" t="s">
        <v>63</v>
      </c>
      <c r="G21" s="4">
        <v>7538.95</v>
      </c>
      <c r="H21" s="4">
        <v>7531.95</v>
      </c>
      <c r="I21" s="2" t="s">
        <v>21</v>
      </c>
      <c r="J21" s="18" t="s">
        <v>64</v>
      </c>
      <c r="K21" s="18"/>
      <c r="L21" s="18" t="s">
        <v>65</v>
      </c>
      <c r="M21" s="18"/>
      <c r="N21" s="18"/>
      <c r="O21" s="18"/>
    </row>
    <row r="22" spans="1:15" ht="15" customHeight="1" x14ac:dyDescent="0.4">
      <c r="A22" s="5" t="s">
        <v>26</v>
      </c>
      <c r="B22" s="6">
        <v>1545882754</v>
      </c>
      <c r="C22" s="5" t="s">
        <v>27</v>
      </c>
      <c r="D22" s="5" t="s">
        <v>23</v>
      </c>
      <c r="E22" s="5" t="s">
        <v>66</v>
      </c>
      <c r="F22" s="5" t="s">
        <v>63</v>
      </c>
      <c r="G22" s="7">
        <v>69.225999999999999</v>
      </c>
      <c r="H22" s="7">
        <v>69.073999999999998</v>
      </c>
      <c r="I22" s="5" t="s">
        <v>26</v>
      </c>
      <c r="J22" s="19" t="s">
        <v>64</v>
      </c>
      <c r="K22" s="19"/>
      <c r="L22" s="19" t="s">
        <v>65</v>
      </c>
      <c r="M22" s="19"/>
      <c r="N22" s="19"/>
      <c r="O22" s="19"/>
    </row>
    <row r="23" spans="1:15" ht="15" customHeight="1" x14ac:dyDescent="0.4">
      <c r="A23" s="2" t="s">
        <v>26</v>
      </c>
      <c r="B23" s="3">
        <v>1545882774</v>
      </c>
      <c r="C23" s="2" t="s">
        <v>30</v>
      </c>
      <c r="D23" s="2" t="s">
        <v>23</v>
      </c>
      <c r="E23" s="2" t="s">
        <v>67</v>
      </c>
      <c r="F23" s="2" t="s">
        <v>63</v>
      </c>
      <c r="G23" s="4">
        <v>62183.26</v>
      </c>
      <c r="H23" s="4">
        <v>61911</v>
      </c>
      <c r="I23" s="2" t="s">
        <v>26</v>
      </c>
      <c r="J23" s="18" t="s">
        <v>64</v>
      </c>
      <c r="K23" s="18"/>
      <c r="L23" s="18" t="s">
        <v>65</v>
      </c>
      <c r="M23" s="18"/>
      <c r="N23" s="18"/>
      <c r="O23" s="18"/>
    </row>
    <row r="24" spans="1:15" ht="15" customHeight="1" x14ac:dyDescent="0.4">
      <c r="A24" s="5" t="s">
        <v>29</v>
      </c>
      <c r="B24" s="6">
        <v>1545888258</v>
      </c>
      <c r="C24" s="5" t="s">
        <v>27</v>
      </c>
      <c r="D24" s="5" t="s">
        <v>43</v>
      </c>
      <c r="E24" s="5" t="s">
        <v>66</v>
      </c>
      <c r="F24" s="7">
        <v>69.225999999999999</v>
      </c>
      <c r="G24" s="5"/>
      <c r="H24" s="5"/>
      <c r="I24" s="5" t="s">
        <v>29</v>
      </c>
      <c r="J24" s="19" t="s">
        <v>64</v>
      </c>
      <c r="K24" s="19"/>
      <c r="L24" s="19" t="s">
        <v>68</v>
      </c>
      <c r="M24" s="19"/>
      <c r="N24" s="19"/>
      <c r="O24" s="19"/>
    </row>
    <row r="25" spans="1:15" ht="15" customHeight="1" x14ac:dyDescent="0.4">
      <c r="A25" s="2" t="s">
        <v>33</v>
      </c>
      <c r="B25" s="3">
        <v>1545891472</v>
      </c>
      <c r="C25" s="2" t="s">
        <v>34</v>
      </c>
      <c r="D25" s="2" t="s">
        <v>23</v>
      </c>
      <c r="E25" s="2" t="s">
        <v>69</v>
      </c>
      <c r="F25" s="2" t="s">
        <v>63</v>
      </c>
      <c r="G25" s="4">
        <v>1754.5</v>
      </c>
      <c r="H25" s="4">
        <v>1743.34</v>
      </c>
      <c r="I25" s="2" t="s">
        <v>33</v>
      </c>
      <c r="J25" s="18" t="s">
        <v>64</v>
      </c>
      <c r="K25" s="18"/>
      <c r="L25" s="18" t="s">
        <v>65</v>
      </c>
      <c r="M25" s="18"/>
      <c r="N25" s="18"/>
      <c r="O25" s="18"/>
    </row>
    <row r="26" spans="1:15" ht="15" customHeight="1" x14ac:dyDescent="0.4">
      <c r="A26" s="5" t="s">
        <v>36</v>
      </c>
      <c r="B26" s="6">
        <v>1545896179</v>
      </c>
      <c r="C26" s="5" t="s">
        <v>34</v>
      </c>
      <c r="D26" s="5" t="s">
        <v>43</v>
      </c>
      <c r="E26" s="5" t="s">
        <v>69</v>
      </c>
      <c r="F26" s="8">
        <v>1754.5</v>
      </c>
      <c r="G26" s="5"/>
      <c r="H26" s="5"/>
      <c r="I26" s="5" t="s">
        <v>36</v>
      </c>
      <c r="J26" s="19" t="s">
        <v>64</v>
      </c>
      <c r="K26" s="19"/>
      <c r="L26" s="19" t="s">
        <v>70</v>
      </c>
      <c r="M26" s="19"/>
      <c r="N26" s="19"/>
      <c r="O26" s="19"/>
    </row>
    <row r="27" spans="1:15" ht="15" customHeight="1" x14ac:dyDescent="0.4">
      <c r="A27" s="2" t="s">
        <v>37</v>
      </c>
      <c r="B27" s="3">
        <v>1545897384</v>
      </c>
      <c r="C27" s="2" t="s">
        <v>38</v>
      </c>
      <c r="D27" s="2" t="s">
        <v>23</v>
      </c>
      <c r="E27" s="2" t="s">
        <v>71</v>
      </c>
      <c r="F27" s="2" t="s">
        <v>63</v>
      </c>
      <c r="G27" s="4">
        <v>29852.25</v>
      </c>
      <c r="H27" s="4">
        <v>29789.75</v>
      </c>
      <c r="I27" s="2" t="s">
        <v>37</v>
      </c>
      <c r="J27" s="18" t="s">
        <v>64</v>
      </c>
      <c r="K27" s="18"/>
      <c r="L27" s="18" t="s">
        <v>65</v>
      </c>
      <c r="M27" s="18"/>
      <c r="N27" s="18"/>
      <c r="O27" s="18"/>
    </row>
    <row r="28" spans="1:15" ht="15" customHeight="1" x14ac:dyDescent="0.4">
      <c r="A28" s="5" t="s">
        <v>32</v>
      </c>
      <c r="B28" s="6">
        <v>1545911654</v>
      </c>
      <c r="C28" s="5" t="s">
        <v>30</v>
      </c>
      <c r="D28" s="5" t="s">
        <v>43</v>
      </c>
      <c r="E28" s="5" t="s">
        <v>67</v>
      </c>
      <c r="F28" s="8">
        <v>62183.26</v>
      </c>
      <c r="G28" s="5"/>
      <c r="H28" s="5"/>
      <c r="I28" s="5" t="s">
        <v>32</v>
      </c>
      <c r="J28" s="19" t="s">
        <v>64</v>
      </c>
      <c r="K28" s="19"/>
      <c r="L28" s="19" t="s">
        <v>72</v>
      </c>
      <c r="M28" s="19"/>
      <c r="N28" s="19"/>
      <c r="O28" s="19"/>
    </row>
    <row r="29" spans="1:15" ht="15" customHeight="1" x14ac:dyDescent="0.4">
      <c r="A29" s="2" t="s">
        <v>25</v>
      </c>
      <c r="B29" s="3">
        <v>1545916181</v>
      </c>
      <c r="C29" s="2" t="s">
        <v>22</v>
      </c>
      <c r="D29" s="2" t="s">
        <v>43</v>
      </c>
      <c r="E29" s="2" t="s">
        <v>62</v>
      </c>
      <c r="F29" s="4">
        <v>7531.95</v>
      </c>
      <c r="G29" s="2"/>
      <c r="H29" s="2"/>
      <c r="I29" s="2" t="s">
        <v>25</v>
      </c>
      <c r="J29" s="18" t="s">
        <v>64</v>
      </c>
      <c r="K29" s="18"/>
      <c r="L29" s="18" t="s">
        <v>73</v>
      </c>
      <c r="M29" s="18"/>
      <c r="N29" s="18"/>
      <c r="O29" s="18"/>
    </row>
    <row r="30" spans="1:15" ht="15" customHeight="1" x14ac:dyDescent="0.4">
      <c r="A30" s="5" t="s">
        <v>40</v>
      </c>
      <c r="B30" s="6">
        <v>1545922010</v>
      </c>
      <c r="C30" s="5" t="s">
        <v>38</v>
      </c>
      <c r="D30" s="5" t="s">
        <v>43</v>
      </c>
      <c r="E30" s="5" t="s">
        <v>71</v>
      </c>
      <c r="F30" s="8">
        <v>29789.75</v>
      </c>
      <c r="G30" s="5"/>
      <c r="H30" s="5"/>
      <c r="I30" s="5" t="s">
        <v>40</v>
      </c>
      <c r="J30" s="19" t="s">
        <v>64</v>
      </c>
      <c r="K30" s="19"/>
      <c r="L30" s="19" t="s">
        <v>74</v>
      </c>
      <c r="M30" s="19"/>
      <c r="N30" s="19"/>
      <c r="O30" s="19"/>
    </row>
    <row r="31" spans="1:15" ht="15" customHeight="1" x14ac:dyDescent="0.4">
      <c r="A31" s="2" t="s">
        <v>41</v>
      </c>
      <c r="B31" s="3">
        <v>1546055955</v>
      </c>
      <c r="C31" s="2" t="s">
        <v>42</v>
      </c>
      <c r="D31" s="2" t="s">
        <v>43</v>
      </c>
      <c r="E31" s="2" t="s">
        <v>75</v>
      </c>
      <c r="F31" s="2" t="s">
        <v>63</v>
      </c>
      <c r="G31" s="4">
        <v>4136.79</v>
      </c>
      <c r="H31" s="4">
        <v>4140.09</v>
      </c>
      <c r="I31" s="2" t="s">
        <v>41</v>
      </c>
      <c r="J31" s="18" t="s">
        <v>64</v>
      </c>
      <c r="K31" s="18"/>
      <c r="L31" s="18" t="s">
        <v>65</v>
      </c>
      <c r="M31" s="18"/>
      <c r="N31" s="18"/>
      <c r="O31" s="18"/>
    </row>
    <row r="32" spans="1:15" ht="15" customHeight="1" x14ac:dyDescent="0.4">
      <c r="A32" s="5" t="s">
        <v>41</v>
      </c>
      <c r="B32" s="6">
        <v>1546055972</v>
      </c>
      <c r="C32" s="5" t="s">
        <v>38</v>
      </c>
      <c r="D32" s="5" t="s">
        <v>43</v>
      </c>
      <c r="E32" s="5" t="s">
        <v>76</v>
      </c>
      <c r="F32" s="5" t="s">
        <v>63</v>
      </c>
      <c r="G32" s="8">
        <v>29814</v>
      </c>
      <c r="H32" s="8">
        <v>29840.6</v>
      </c>
      <c r="I32" s="5" t="s">
        <v>41</v>
      </c>
      <c r="J32" s="19" t="s">
        <v>64</v>
      </c>
      <c r="K32" s="19"/>
      <c r="L32" s="19" t="s">
        <v>65</v>
      </c>
      <c r="M32" s="19"/>
      <c r="N32" s="19"/>
      <c r="O32" s="19"/>
    </row>
    <row r="33" spans="1:15" ht="15" customHeight="1" x14ac:dyDescent="0.4">
      <c r="A33" s="2" t="s">
        <v>48</v>
      </c>
      <c r="B33" s="3">
        <v>1546056195</v>
      </c>
      <c r="C33" s="2" t="s">
        <v>22</v>
      </c>
      <c r="D33" s="2" t="s">
        <v>43</v>
      </c>
      <c r="E33" s="2" t="s">
        <v>77</v>
      </c>
      <c r="F33" s="2" t="s">
        <v>63</v>
      </c>
      <c r="G33" s="4">
        <v>7537.2</v>
      </c>
      <c r="H33" s="4">
        <v>7546.92</v>
      </c>
      <c r="I33" s="2" t="s">
        <v>48</v>
      </c>
      <c r="J33" s="18" t="s">
        <v>64</v>
      </c>
      <c r="K33" s="18"/>
      <c r="L33" s="18" t="s">
        <v>65</v>
      </c>
      <c r="M33" s="18"/>
      <c r="N33" s="18"/>
      <c r="O33" s="18"/>
    </row>
    <row r="34" spans="1:15" ht="15" customHeight="1" x14ac:dyDescent="0.4">
      <c r="A34" s="5" t="s">
        <v>48</v>
      </c>
      <c r="B34" s="6">
        <v>1546056214</v>
      </c>
      <c r="C34" s="5" t="s">
        <v>30</v>
      </c>
      <c r="D34" s="5" t="s">
        <v>43</v>
      </c>
      <c r="E34" s="5" t="s">
        <v>67</v>
      </c>
      <c r="F34" s="5" t="s">
        <v>63</v>
      </c>
      <c r="G34" s="8">
        <v>61991.46</v>
      </c>
      <c r="H34" s="8">
        <v>62324.6</v>
      </c>
      <c r="I34" s="5" t="s">
        <v>48</v>
      </c>
      <c r="J34" s="19" t="s">
        <v>64</v>
      </c>
      <c r="K34" s="19"/>
      <c r="L34" s="19" t="s">
        <v>65</v>
      </c>
      <c r="M34" s="19"/>
      <c r="N34" s="19"/>
      <c r="O34" s="19"/>
    </row>
    <row r="35" spans="1:15" ht="15" customHeight="1" x14ac:dyDescent="0.4">
      <c r="A35" s="2" t="s">
        <v>48</v>
      </c>
      <c r="B35" s="3">
        <v>1546056228</v>
      </c>
      <c r="C35" s="2" t="s">
        <v>34</v>
      </c>
      <c r="D35" s="2" t="s">
        <v>43</v>
      </c>
      <c r="E35" s="2" t="s">
        <v>78</v>
      </c>
      <c r="F35" s="2" t="s">
        <v>63</v>
      </c>
      <c r="G35" s="4">
        <v>1748.92</v>
      </c>
      <c r="H35" s="4">
        <v>1760.74</v>
      </c>
      <c r="I35" s="2" t="s">
        <v>48</v>
      </c>
      <c r="J35" s="18" t="s">
        <v>64</v>
      </c>
      <c r="K35" s="18"/>
      <c r="L35" s="18" t="s">
        <v>65</v>
      </c>
      <c r="M35" s="18"/>
      <c r="N35" s="18"/>
      <c r="O35" s="18"/>
    </row>
    <row r="36" spans="1:15" ht="15" customHeight="1" x14ac:dyDescent="0.4">
      <c r="A36" s="5" t="s">
        <v>45</v>
      </c>
      <c r="B36" s="6">
        <v>1546061046</v>
      </c>
      <c r="C36" s="5" t="s">
        <v>42</v>
      </c>
      <c r="D36" s="5" t="s">
        <v>23</v>
      </c>
      <c r="E36" s="5" t="s">
        <v>75</v>
      </c>
      <c r="F36" s="8">
        <v>4140.09</v>
      </c>
      <c r="G36" s="5"/>
      <c r="H36" s="5"/>
      <c r="I36" s="5" t="s">
        <v>45</v>
      </c>
      <c r="J36" s="19" t="s">
        <v>64</v>
      </c>
      <c r="K36" s="19"/>
      <c r="L36" s="19" t="s">
        <v>79</v>
      </c>
      <c r="M36" s="19"/>
      <c r="N36" s="19"/>
      <c r="O36" s="19"/>
    </row>
    <row r="37" spans="1:15" ht="15" customHeight="1" x14ac:dyDescent="0.4">
      <c r="A37" s="2" t="s">
        <v>54</v>
      </c>
      <c r="B37" s="3">
        <v>1546062628</v>
      </c>
      <c r="C37" s="2" t="s">
        <v>27</v>
      </c>
      <c r="D37" s="2" t="s">
        <v>43</v>
      </c>
      <c r="E37" s="2" t="s">
        <v>80</v>
      </c>
      <c r="F37" s="2" t="s">
        <v>63</v>
      </c>
      <c r="G37" s="9">
        <v>69.010000000000005</v>
      </c>
      <c r="H37" s="9">
        <v>69.188000000000002</v>
      </c>
      <c r="I37" s="2" t="s">
        <v>54</v>
      </c>
      <c r="J37" s="18" t="s">
        <v>64</v>
      </c>
      <c r="K37" s="18"/>
      <c r="L37" s="18" t="s">
        <v>65</v>
      </c>
      <c r="M37" s="18"/>
      <c r="N37" s="18"/>
      <c r="O37" s="18"/>
    </row>
    <row r="38" spans="1:15" ht="15" customHeight="1" x14ac:dyDescent="0.4">
      <c r="A38" s="5" t="s">
        <v>56</v>
      </c>
      <c r="B38" s="6">
        <v>1546065921</v>
      </c>
      <c r="C38" s="5" t="s">
        <v>27</v>
      </c>
      <c r="D38" s="5" t="s">
        <v>23</v>
      </c>
      <c r="E38" s="5" t="s">
        <v>80</v>
      </c>
      <c r="F38" s="7">
        <v>69.010000000000005</v>
      </c>
      <c r="G38" s="5"/>
      <c r="H38" s="5"/>
      <c r="I38" s="5" t="s">
        <v>56</v>
      </c>
      <c r="J38" s="19" t="s">
        <v>64</v>
      </c>
      <c r="K38" s="19"/>
      <c r="L38" s="19" t="s">
        <v>81</v>
      </c>
      <c r="M38" s="19"/>
      <c r="N38" s="19"/>
      <c r="O38" s="19"/>
    </row>
    <row r="39" spans="1:15" ht="15" customHeight="1" x14ac:dyDescent="0.4">
      <c r="A39" s="2" t="s">
        <v>47</v>
      </c>
      <c r="B39" s="3">
        <v>1546080360</v>
      </c>
      <c r="C39" s="2" t="s">
        <v>38</v>
      </c>
      <c r="D39" s="2" t="s">
        <v>23</v>
      </c>
      <c r="E39" s="2" t="s">
        <v>76</v>
      </c>
      <c r="F39" s="4">
        <v>29814</v>
      </c>
      <c r="G39" s="2"/>
      <c r="H39" s="2"/>
      <c r="I39" s="2" t="s">
        <v>47</v>
      </c>
      <c r="J39" s="18" t="s">
        <v>64</v>
      </c>
      <c r="K39" s="18"/>
      <c r="L39" s="18" t="s">
        <v>82</v>
      </c>
      <c r="M39" s="18"/>
      <c r="N39" s="18"/>
      <c r="O39" s="18"/>
    </row>
    <row r="40" spans="1:15" ht="15" customHeight="1" x14ac:dyDescent="0.4">
      <c r="A40" s="5" t="s">
        <v>51</v>
      </c>
      <c r="B40" s="6">
        <v>1546086637</v>
      </c>
      <c r="C40" s="5" t="s">
        <v>30</v>
      </c>
      <c r="D40" s="5" t="s">
        <v>23</v>
      </c>
      <c r="E40" s="5" t="s">
        <v>67</v>
      </c>
      <c r="F40" s="8">
        <v>62324.6</v>
      </c>
      <c r="G40" s="5"/>
      <c r="H40" s="5"/>
      <c r="I40" s="5" t="s">
        <v>51</v>
      </c>
      <c r="J40" s="19" t="s">
        <v>64</v>
      </c>
      <c r="K40" s="19"/>
      <c r="L40" s="19" t="s">
        <v>83</v>
      </c>
      <c r="M40" s="19"/>
      <c r="N40" s="19"/>
      <c r="O40" s="19"/>
    </row>
    <row r="41" spans="1:15" ht="15" customHeight="1" x14ac:dyDescent="0.4">
      <c r="A41" s="2" t="s">
        <v>53</v>
      </c>
      <c r="B41" s="3">
        <v>1546104669</v>
      </c>
      <c r="C41" s="2" t="s">
        <v>34</v>
      </c>
      <c r="D41" s="2" t="s">
        <v>23</v>
      </c>
      <c r="E41" s="2" t="s">
        <v>78</v>
      </c>
      <c r="F41" s="4">
        <v>1760.74</v>
      </c>
      <c r="G41" s="2"/>
      <c r="H41" s="2"/>
      <c r="I41" s="2" t="s">
        <v>53</v>
      </c>
      <c r="J41" s="18" t="s">
        <v>64</v>
      </c>
      <c r="K41" s="18"/>
      <c r="L41" s="18" t="s">
        <v>84</v>
      </c>
      <c r="M41" s="18"/>
      <c r="N41" s="18"/>
      <c r="O41" s="18"/>
    </row>
    <row r="42" spans="1:15" ht="15" customHeight="1" x14ac:dyDescent="0.4">
      <c r="A42" s="5" t="s">
        <v>50</v>
      </c>
      <c r="B42" s="6">
        <v>1546128607</v>
      </c>
      <c r="C42" s="5" t="s">
        <v>22</v>
      </c>
      <c r="D42" s="5" t="s">
        <v>23</v>
      </c>
      <c r="E42" s="5" t="s">
        <v>77</v>
      </c>
      <c r="F42" s="8">
        <v>7537.2</v>
      </c>
      <c r="G42" s="5"/>
      <c r="H42" s="5"/>
      <c r="I42" s="5" t="s">
        <v>50</v>
      </c>
      <c r="J42" s="19" t="s">
        <v>64</v>
      </c>
      <c r="K42" s="19"/>
      <c r="L42" s="19" t="s">
        <v>85</v>
      </c>
      <c r="M42" s="19"/>
      <c r="N42" s="19"/>
      <c r="O42" s="19"/>
    </row>
    <row r="43" spans="1:15" ht="25" customHeight="1" x14ac:dyDescent="0.4">
      <c r="A43" s="20" t="s">
        <v>86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spans="1:15" ht="20" customHeight="1" x14ac:dyDescent="0.4">
      <c r="A44" s="1" t="s">
        <v>10</v>
      </c>
      <c r="B44" s="1" t="s">
        <v>87</v>
      </c>
      <c r="C44" s="1" t="s">
        <v>12</v>
      </c>
      <c r="D44" s="1" t="s">
        <v>13</v>
      </c>
      <c r="E44" s="1" t="s">
        <v>88</v>
      </c>
      <c r="F44" s="1" t="s">
        <v>14</v>
      </c>
      <c r="G44" s="1" t="s">
        <v>15</v>
      </c>
      <c r="H44" s="1" t="s">
        <v>59</v>
      </c>
      <c r="I44" s="1" t="s">
        <v>18</v>
      </c>
      <c r="J44" s="15" t="s">
        <v>89</v>
      </c>
      <c r="K44" s="1" t="s">
        <v>19</v>
      </c>
      <c r="L44" s="1" t="s">
        <v>20</v>
      </c>
      <c r="M44" s="1" t="s">
        <v>90</v>
      </c>
      <c r="N44" s="15" t="s">
        <v>61</v>
      </c>
      <c r="O44" s="15"/>
    </row>
    <row r="45" spans="1:15" ht="15" customHeight="1" x14ac:dyDescent="0.4">
      <c r="A45" s="2" t="s">
        <v>21</v>
      </c>
      <c r="B45" s="3">
        <v>1313605027</v>
      </c>
      <c r="C45" s="2" t="s">
        <v>22</v>
      </c>
      <c r="D45" s="2" t="s">
        <v>23</v>
      </c>
      <c r="E45" s="2" t="s">
        <v>91</v>
      </c>
      <c r="F45" s="2" t="s">
        <v>24</v>
      </c>
      <c r="G45" s="4">
        <v>7534.95</v>
      </c>
      <c r="H45" s="3">
        <v>1545882664</v>
      </c>
      <c r="I45" s="16">
        <v>0</v>
      </c>
      <c r="J45" s="4">
        <v>0</v>
      </c>
      <c r="K45" s="4">
        <v>0</v>
      </c>
      <c r="L45" s="4">
        <v>0</v>
      </c>
      <c r="M45" s="4">
        <v>1000</v>
      </c>
      <c r="N45" s="18" t="s">
        <v>65</v>
      </c>
      <c r="O45" s="18"/>
    </row>
    <row r="46" spans="1:15" ht="15" customHeight="1" x14ac:dyDescent="0.4">
      <c r="A46" s="5" t="s">
        <v>26</v>
      </c>
      <c r="B46" s="6">
        <v>1313605076</v>
      </c>
      <c r="C46" s="5" t="s">
        <v>27</v>
      </c>
      <c r="D46" s="5" t="s">
        <v>23</v>
      </c>
      <c r="E46" s="5" t="s">
        <v>91</v>
      </c>
      <c r="F46" s="5" t="s">
        <v>28</v>
      </c>
      <c r="G46" s="7">
        <v>69.150000000000006</v>
      </c>
      <c r="H46" s="6">
        <v>1545882754</v>
      </c>
      <c r="I46" s="17">
        <v>0</v>
      </c>
      <c r="J46" s="8">
        <v>0</v>
      </c>
      <c r="K46" s="8">
        <v>0</v>
      </c>
      <c r="L46" s="8">
        <v>0</v>
      </c>
      <c r="M46" s="8">
        <v>1000</v>
      </c>
      <c r="N46" s="19" t="s">
        <v>65</v>
      </c>
      <c r="O46" s="19"/>
    </row>
    <row r="47" spans="1:15" ht="15" customHeight="1" x14ac:dyDescent="0.4">
      <c r="A47" s="2" t="s">
        <v>26</v>
      </c>
      <c r="B47" s="3">
        <v>1313605091</v>
      </c>
      <c r="C47" s="2" t="s">
        <v>30</v>
      </c>
      <c r="D47" s="2" t="s">
        <v>23</v>
      </c>
      <c r="E47" s="2" t="s">
        <v>91</v>
      </c>
      <c r="F47" s="2" t="s">
        <v>31</v>
      </c>
      <c r="G47" s="4">
        <v>62053.7</v>
      </c>
      <c r="H47" s="3">
        <v>1545882774</v>
      </c>
      <c r="I47" s="16">
        <v>0</v>
      </c>
      <c r="J47" s="4">
        <v>0</v>
      </c>
      <c r="K47" s="4">
        <v>0</v>
      </c>
      <c r="L47" s="4">
        <v>0</v>
      </c>
      <c r="M47" s="4">
        <v>1000</v>
      </c>
      <c r="N47" s="18" t="s">
        <v>65</v>
      </c>
      <c r="O47" s="18"/>
    </row>
    <row r="48" spans="1:15" ht="15" customHeight="1" x14ac:dyDescent="0.4">
      <c r="A48" s="5" t="s">
        <v>29</v>
      </c>
      <c r="B48" s="6">
        <v>1313608904</v>
      </c>
      <c r="C48" s="5" t="s">
        <v>27</v>
      </c>
      <c r="D48" s="5" t="s">
        <v>43</v>
      </c>
      <c r="E48" s="5" t="s">
        <v>92</v>
      </c>
      <c r="F48" s="5" t="s">
        <v>28</v>
      </c>
      <c r="G48" s="7">
        <v>69.225999999999999</v>
      </c>
      <c r="H48" s="6">
        <v>1545888258</v>
      </c>
      <c r="I48" s="17">
        <v>0</v>
      </c>
      <c r="J48" s="8">
        <v>0</v>
      </c>
      <c r="K48" s="8">
        <v>0</v>
      </c>
      <c r="L48" s="8">
        <v>-3.04</v>
      </c>
      <c r="M48" s="8">
        <v>996.96</v>
      </c>
      <c r="N48" s="19" t="s">
        <v>68</v>
      </c>
      <c r="O48" s="19"/>
    </row>
    <row r="49" spans="1:15" ht="15" customHeight="1" x14ac:dyDescent="0.4">
      <c r="A49" s="2" t="s">
        <v>33</v>
      </c>
      <c r="B49" s="3">
        <v>1313611534</v>
      </c>
      <c r="C49" s="2" t="s">
        <v>34</v>
      </c>
      <c r="D49" s="2" t="s">
        <v>23</v>
      </c>
      <c r="E49" s="2" t="s">
        <v>91</v>
      </c>
      <c r="F49" s="2" t="s">
        <v>35</v>
      </c>
      <c r="G49" s="4">
        <v>1748.94</v>
      </c>
      <c r="H49" s="3">
        <v>1545891472</v>
      </c>
      <c r="I49" s="16">
        <v>0</v>
      </c>
      <c r="J49" s="4">
        <v>0</v>
      </c>
      <c r="K49" s="4">
        <v>0</v>
      </c>
      <c r="L49" s="4">
        <v>0</v>
      </c>
      <c r="M49" s="4">
        <v>996.96</v>
      </c>
      <c r="N49" s="18" t="s">
        <v>65</v>
      </c>
      <c r="O49" s="18"/>
    </row>
    <row r="50" spans="1:15" ht="15" customHeight="1" x14ac:dyDescent="0.4">
      <c r="A50" s="5" t="s">
        <v>36</v>
      </c>
      <c r="B50" s="6">
        <v>1313615307</v>
      </c>
      <c r="C50" s="5" t="s">
        <v>34</v>
      </c>
      <c r="D50" s="5" t="s">
        <v>43</v>
      </c>
      <c r="E50" s="5" t="s">
        <v>92</v>
      </c>
      <c r="F50" s="5" t="s">
        <v>35</v>
      </c>
      <c r="G50" s="8">
        <v>1754.5</v>
      </c>
      <c r="H50" s="6">
        <v>1545896179</v>
      </c>
      <c r="I50" s="17">
        <v>0</v>
      </c>
      <c r="J50" s="8">
        <v>0</v>
      </c>
      <c r="K50" s="8">
        <v>0</v>
      </c>
      <c r="L50" s="8">
        <v>-3.29</v>
      </c>
      <c r="M50" s="8">
        <v>993.67</v>
      </c>
      <c r="N50" s="19" t="s">
        <v>70</v>
      </c>
      <c r="O50" s="19"/>
    </row>
    <row r="51" spans="1:15" ht="15" customHeight="1" x14ac:dyDescent="0.4">
      <c r="A51" s="2" t="s">
        <v>37</v>
      </c>
      <c r="B51" s="3">
        <v>1313616263</v>
      </c>
      <c r="C51" s="2" t="s">
        <v>38</v>
      </c>
      <c r="D51" s="2" t="s">
        <v>23</v>
      </c>
      <c r="E51" s="2" t="s">
        <v>91</v>
      </c>
      <c r="F51" s="2" t="s">
        <v>39</v>
      </c>
      <c r="G51" s="4">
        <v>29821</v>
      </c>
      <c r="H51" s="3">
        <v>1545897384</v>
      </c>
      <c r="I51" s="16">
        <v>0</v>
      </c>
      <c r="J51" s="4">
        <v>0</v>
      </c>
      <c r="K51" s="4">
        <v>0</v>
      </c>
      <c r="L51" s="4">
        <v>0</v>
      </c>
      <c r="M51" s="4">
        <v>993.67</v>
      </c>
      <c r="N51" s="18" t="s">
        <v>65</v>
      </c>
      <c r="O51" s="18"/>
    </row>
    <row r="52" spans="1:15" ht="15" customHeight="1" x14ac:dyDescent="0.4">
      <c r="A52" s="5" t="s">
        <v>32</v>
      </c>
      <c r="B52" s="6">
        <v>1313627376</v>
      </c>
      <c r="C52" s="5" t="s">
        <v>30</v>
      </c>
      <c r="D52" s="5" t="s">
        <v>43</v>
      </c>
      <c r="E52" s="5" t="s">
        <v>92</v>
      </c>
      <c r="F52" s="5" t="s">
        <v>31</v>
      </c>
      <c r="G52" s="8">
        <v>62183.26</v>
      </c>
      <c r="H52" s="6">
        <v>1545911654</v>
      </c>
      <c r="I52" s="17">
        <v>0</v>
      </c>
      <c r="J52" s="8">
        <v>0</v>
      </c>
      <c r="K52" s="8">
        <v>0</v>
      </c>
      <c r="L52" s="8">
        <v>-2.6</v>
      </c>
      <c r="M52" s="8">
        <v>991.07</v>
      </c>
      <c r="N52" s="19" t="s">
        <v>72</v>
      </c>
      <c r="O52" s="19"/>
    </row>
    <row r="53" spans="1:15" ht="15" customHeight="1" x14ac:dyDescent="0.4">
      <c r="A53" s="2" t="s">
        <v>25</v>
      </c>
      <c r="B53" s="3">
        <v>1313630793</v>
      </c>
      <c r="C53" s="2" t="s">
        <v>22</v>
      </c>
      <c r="D53" s="2" t="s">
        <v>43</v>
      </c>
      <c r="E53" s="2" t="s">
        <v>92</v>
      </c>
      <c r="F53" s="2" t="s">
        <v>24</v>
      </c>
      <c r="G53" s="4">
        <v>7531.95</v>
      </c>
      <c r="H53" s="3">
        <v>1545916181</v>
      </c>
      <c r="I53" s="16">
        <v>0</v>
      </c>
      <c r="J53" s="4">
        <v>0</v>
      </c>
      <c r="K53" s="4">
        <v>0</v>
      </c>
      <c r="L53" s="4">
        <v>2.4</v>
      </c>
      <c r="M53" s="4">
        <v>993.47</v>
      </c>
      <c r="N53" s="18" t="s">
        <v>73</v>
      </c>
      <c r="O53" s="18"/>
    </row>
    <row r="54" spans="1:15" ht="15" customHeight="1" x14ac:dyDescent="0.4">
      <c r="A54" s="5" t="s">
        <v>40</v>
      </c>
      <c r="B54" s="6">
        <v>1313635372</v>
      </c>
      <c r="C54" s="5" t="s">
        <v>38</v>
      </c>
      <c r="D54" s="5" t="s">
        <v>43</v>
      </c>
      <c r="E54" s="5" t="s">
        <v>92</v>
      </c>
      <c r="F54" s="5" t="s">
        <v>39</v>
      </c>
      <c r="G54" s="8">
        <v>29789.75</v>
      </c>
      <c r="H54" s="6">
        <v>1545922010</v>
      </c>
      <c r="I54" s="17">
        <v>0</v>
      </c>
      <c r="J54" s="8">
        <v>0</v>
      </c>
      <c r="K54" s="8">
        <v>0</v>
      </c>
      <c r="L54" s="8">
        <v>3.13</v>
      </c>
      <c r="M54" s="8">
        <v>996.6</v>
      </c>
      <c r="N54" s="19" t="s">
        <v>74</v>
      </c>
      <c r="O54" s="19"/>
    </row>
    <row r="55" spans="1:15" ht="15" customHeight="1" x14ac:dyDescent="0.4">
      <c r="A55" s="2" t="s">
        <v>41</v>
      </c>
      <c r="B55" s="3">
        <v>1313741796</v>
      </c>
      <c r="C55" s="2" t="s">
        <v>42</v>
      </c>
      <c r="D55" s="2" t="s">
        <v>43</v>
      </c>
      <c r="E55" s="2" t="s">
        <v>91</v>
      </c>
      <c r="F55" s="2" t="s">
        <v>44</v>
      </c>
      <c r="G55" s="4">
        <v>4138.5600000000004</v>
      </c>
      <c r="H55" s="3">
        <v>1546055955</v>
      </c>
      <c r="I55" s="16">
        <v>-0.03</v>
      </c>
      <c r="J55" s="4">
        <v>0</v>
      </c>
      <c r="K55" s="4">
        <v>0</v>
      </c>
      <c r="L55" s="4">
        <v>0</v>
      </c>
      <c r="M55" s="4">
        <v>996.57</v>
      </c>
      <c r="N55" s="18" t="s">
        <v>65</v>
      </c>
      <c r="O55" s="18"/>
    </row>
    <row r="56" spans="1:15" ht="15" customHeight="1" x14ac:dyDescent="0.4">
      <c r="A56" s="5" t="s">
        <v>41</v>
      </c>
      <c r="B56" s="6">
        <v>1313741806</v>
      </c>
      <c r="C56" s="5" t="s">
        <v>38</v>
      </c>
      <c r="D56" s="5" t="s">
        <v>43</v>
      </c>
      <c r="E56" s="5" t="s">
        <v>91</v>
      </c>
      <c r="F56" s="5" t="s">
        <v>46</v>
      </c>
      <c r="G56" s="8">
        <v>29829.8</v>
      </c>
      <c r="H56" s="6">
        <v>1546055972</v>
      </c>
      <c r="I56" s="17">
        <v>0</v>
      </c>
      <c r="J56" s="8">
        <v>0</v>
      </c>
      <c r="K56" s="8">
        <v>0</v>
      </c>
      <c r="L56" s="8">
        <v>0</v>
      </c>
      <c r="M56" s="8">
        <v>996.57</v>
      </c>
      <c r="N56" s="19" t="s">
        <v>65</v>
      </c>
      <c r="O56" s="19"/>
    </row>
    <row r="57" spans="1:15" ht="15" customHeight="1" x14ac:dyDescent="0.4">
      <c r="A57" s="2" t="s">
        <v>48</v>
      </c>
      <c r="B57" s="3">
        <v>1313742001</v>
      </c>
      <c r="C57" s="2" t="s">
        <v>22</v>
      </c>
      <c r="D57" s="2" t="s">
        <v>43</v>
      </c>
      <c r="E57" s="2" t="s">
        <v>91</v>
      </c>
      <c r="F57" s="2" t="s">
        <v>49</v>
      </c>
      <c r="G57" s="4">
        <v>7541.81</v>
      </c>
      <c r="H57" s="3">
        <v>1546056195</v>
      </c>
      <c r="I57" s="16">
        <v>0</v>
      </c>
      <c r="J57" s="4">
        <v>0</v>
      </c>
      <c r="K57" s="4">
        <v>0</v>
      </c>
      <c r="L57" s="4">
        <v>0</v>
      </c>
      <c r="M57" s="4">
        <v>996.57</v>
      </c>
      <c r="N57" s="18" t="s">
        <v>65</v>
      </c>
      <c r="O57" s="18"/>
    </row>
    <row r="58" spans="1:15" ht="15" customHeight="1" x14ac:dyDescent="0.4">
      <c r="A58" s="5" t="s">
        <v>48</v>
      </c>
      <c r="B58" s="6">
        <v>1313742015</v>
      </c>
      <c r="C58" s="5" t="s">
        <v>30</v>
      </c>
      <c r="D58" s="5" t="s">
        <v>43</v>
      </c>
      <c r="E58" s="5" t="s">
        <v>91</v>
      </c>
      <c r="F58" s="5" t="s">
        <v>31</v>
      </c>
      <c r="G58" s="8">
        <v>62163.61</v>
      </c>
      <c r="H58" s="6">
        <v>1546056214</v>
      </c>
      <c r="I58" s="17">
        <v>0</v>
      </c>
      <c r="J58" s="8">
        <v>0</v>
      </c>
      <c r="K58" s="8">
        <v>0</v>
      </c>
      <c r="L58" s="8">
        <v>0</v>
      </c>
      <c r="M58" s="8">
        <v>996.57</v>
      </c>
      <c r="N58" s="19" t="s">
        <v>65</v>
      </c>
      <c r="O58" s="19"/>
    </row>
    <row r="59" spans="1:15" ht="15" customHeight="1" x14ac:dyDescent="0.4">
      <c r="A59" s="2" t="s">
        <v>48</v>
      </c>
      <c r="B59" s="3">
        <v>1313742024</v>
      </c>
      <c r="C59" s="2" t="s">
        <v>34</v>
      </c>
      <c r="D59" s="2" t="s">
        <v>43</v>
      </c>
      <c r="E59" s="2" t="s">
        <v>91</v>
      </c>
      <c r="F59" s="2" t="s">
        <v>52</v>
      </c>
      <c r="G59" s="4">
        <v>1754.93</v>
      </c>
      <c r="H59" s="3">
        <v>1546056228</v>
      </c>
      <c r="I59" s="16">
        <v>0</v>
      </c>
      <c r="J59" s="4">
        <v>0</v>
      </c>
      <c r="K59" s="4">
        <v>0</v>
      </c>
      <c r="L59" s="4">
        <v>0</v>
      </c>
      <c r="M59" s="4">
        <v>996.57</v>
      </c>
      <c r="N59" s="18" t="s">
        <v>65</v>
      </c>
      <c r="O59" s="18"/>
    </row>
    <row r="60" spans="1:15" ht="15" customHeight="1" x14ac:dyDescent="0.4">
      <c r="A60" s="5" t="s">
        <v>45</v>
      </c>
      <c r="B60" s="6">
        <v>1313745369</v>
      </c>
      <c r="C60" s="5" t="s">
        <v>42</v>
      </c>
      <c r="D60" s="5" t="s">
        <v>23</v>
      </c>
      <c r="E60" s="5" t="s">
        <v>92</v>
      </c>
      <c r="F60" s="5" t="s">
        <v>44</v>
      </c>
      <c r="G60" s="8">
        <v>4140.09</v>
      </c>
      <c r="H60" s="6">
        <v>1546061046</v>
      </c>
      <c r="I60" s="17">
        <v>-0.03</v>
      </c>
      <c r="J60" s="8">
        <v>0</v>
      </c>
      <c r="K60" s="8">
        <v>0</v>
      </c>
      <c r="L60" s="8">
        <v>1.53</v>
      </c>
      <c r="M60" s="8">
        <v>998.07</v>
      </c>
      <c r="N60" s="19" t="s">
        <v>79</v>
      </c>
      <c r="O60" s="19"/>
    </row>
    <row r="61" spans="1:15" ht="15" customHeight="1" x14ac:dyDescent="0.4">
      <c r="A61" s="2" t="s">
        <v>54</v>
      </c>
      <c r="B61" s="3">
        <v>1313746571</v>
      </c>
      <c r="C61" s="2" t="s">
        <v>27</v>
      </c>
      <c r="D61" s="2" t="s">
        <v>43</v>
      </c>
      <c r="E61" s="2" t="s">
        <v>91</v>
      </c>
      <c r="F61" s="2" t="s">
        <v>55</v>
      </c>
      <c r="G61" s="9">
        <v>69.099000000000004</v>
      </c>
      <c r="H61" s="3">
        <v>1546062628</v>
      </c>
      <c r="I61" s="16">
        <v>0</v>
      </c>
      <c r="J61" s="4">
        <v>0</v>
      </c>
      <c r="K61" s="4">
        <v>0</v>
      </c>
      <c r="L61" s="4">
        <v>0</v>
      </c>
      <c r="M61" s="4">
        <v>998.07</v>
      </c>
      <c r="N61" s="18" t="s">
        <v>65</v>
      </c>
      <c r="O61" s="18"/>
    </row>
    <row r="62" spans="1:15" ht="15" customHeight="1" x14ac:dyDescent="0.4">
      <c r="A62" s="5" t="s">
        <v>56</v>
      </c>
      <c r="B62" s="6">
        <v>1313748890</v>
      </c>
      <c r="C62" s="5" t="s">
        <v>27</v>
      </c>
      <c r="D62" s="5" t="s">
        <v>23</v>
      </c>
      <c r="E62" s="5" t="s">
        <v>92</v>
      </c>
      <c r="F62" s="5" t="s">
        <v>55</v>
      </c>
      <c r="G62" s="7">
        <v>69.010000000000005</v>
      </c>
      <c r="H62" s="6">
        <v>1546065921</v>
      </c>
      <c r="I62" s="17">
        <v>0</v>
      </c>
      <c r="J62" s="8">
        <v>0</v>
      </c>
      <c r="K62" s="8">
        <v>0</v>
      </c>
      <c r="L62" s="8">
        <v>-2.67</v>
      </c>
      <c r="M62" s="8">
        <v>995.4</v>
      </c>
      <c r="N62" s="19" t="s">
        <v>81</v>
      </c>
      <c r="O62" s="19"/>
    </row>
    <row r="63" spans="1:15" ht="15" customHeight="1" x14ac:dyDescent="0.4">
      <c r="A63" s="2" t="s">
        <v>47</v>
      </c>
      <c r="B63" s="3">
        <v>1313760582</v>
      </c>
      <c r="C63" s="2" t="s">
        <v>38</v>
      </c>
      <c r="D63" s="2" t="s">
        <v>23</v>
      </c>
      <c r="E63" s="2" t="s">
        <v>92</v>
      </c>
      <c r="F63" s="2" t="s">
        <v>46</v>
      </c>
      <c r="G63" s="4">
        <v>29814</v>
      </c>
      <c r="H63" s="3">
        <v>1546080360</v>
      </c>
      <c r="I63" s="16">
        <v>0</v>
      </c>
      <c r="J63" s="4">
        <v>0</v>
      </c>
      <c r="K63" s="4">
        <v>0</v>
      </c>
      <c r="L63" s="4">
        <v>-3.16</v>
      </c>
      <c r="M63" s="4">
        <v>992.24</v>
      </c>
      <c r="N63" s="18" t="s">
        <v>82</v>
      </c>
      <c r="O63" s="18"/>
    </row>
    <row r="64" spans="1:15" ht="15" customHeight="1" x14ac:dyDescent="0.4">
      <c r="A64" s="5" t="s">
        <v>51</v>
      </c>
      <c r="B64" s="6">
        <v>1313765405</v>
      </c>
      <c r="C64" s="5" t="s">
        <v>30</v>
      </c>
      <c r="D64" s="5" t="s">
        <v>23</v>
      </c>
      <c r="E64" s="5" t="s">
        <v>92</v>
      </c>
      <c r="F64" s="5" t="s">
        <v>31</v>
      </c>
      <c r="G64" s="8">
        <v>62324.6</v>
      </c>
      <c r="H64" s="6">
        <v>1546086637</v>
      </c>
      <c r="I64" s="17">
        <v>0</v>
      </c>
      <c r="J64" s="8">
        <v>0</v>
      </c>
      <c r="K64" s="8">
        <v>0</v>
      </c>
      <c r="L64" s="8">
        <v>3.22</v>
      </c>
      <c r="M64" s="8">
        <v>995.46</v>
      </c>
      <c r="N64" s="19" t="s">
        <v>83</v>
      </c>
      <c r="O64" s="19"/>
    </row>
    <row r="65" spans="1:15" ht="15" customHeight="1" x14ac:dyDescent="0.4">
      <c r="A65" s="2" t="s">
        <v>53</v>
      </c>
      <c r="B65" s="3">
        <v>1313780195</v>
      </c>
      <c r="C65" s="2" t="s">
        <v>34</v>
      </c>
      <c r="D65" s="2" t="s">
        <v>23</v>
      </c>
      <c r="E65" s="2" t="s">
        <v>92</v>
      </c>
      <c r="F65" s="2" t="s">
        <v>52</v>
      </c>
      <c r="G65" s="4">
        <v>1760.74</v>
      </c>
      <c r="H65" s="3">
        <v>1546104669</v>
      </c>
      <c r="I65" s="16">
        <v>0</v>
      </c>
      <c r="J65" s="4">
        <v>0</v>
      </c>
      <c r="K65" s="4">
        <v>0</v>
      </c>
      <c r="L65" s="4">
        <v>3.31</v>
      </c>
      <c r="M65" s="4">
        <v>998.77</v>
      </c>
      <c r="N65" s="18" t="s">
        <v>84</v>
      </c>
      <c r="O65" s="18"/>
    </row>
    <row r="66" spans="1:15" ht="15" customHeight="1" x14ac:dyDescent="0.4">
      <c r="A66" s="5" t="s">
        <v>50</v>
      </c>
      <c r="B66" s="6">
        <v>1313798886</v>
      </c>
      <c r="C66" s="5" t="s">
        <v>22</v>
      </c>
      <c r="D66" s="5" t="s">
        <v>23</v>
      </c>
      <c r="E66" s="5" t="s">
        <v>92</v>
      </c>
      <c r="F66" s="5" t="s">
        <v>49</v>
      </c>
      <c r="G66" s="8">
        <v>7537.2</v>
      </c>
      <c r="H66" s="6">
        <v>1546128607</v>
      </c>
      <c r="I66" s="17">
        <v>0</v>
      </c>
      <c r="J66" s="8">
        <v>0</v>
      </c>
      <c r="K66" s="8">
        <v>0</v>
      </c>
      <c r="L66" s="8">
        <v>-2.77</v>
      </c>
      <c r="M66" s="8">
        <v>996</v>
      </c>
      <c r="N66" s="19" t="s">
        <v>85</v>
      </c>
      <c r="O66" s="19"/>
    </row>
    <row r="67" spans="1:15" ht="20" customHeight="1" x14ac:dyDescent="0.4">
      <c r="A67" s="21"/>
      <c r="B67" s="21"/>
      <c r="C67" s="21"/>
      <c r="D67" s="21"/>
      <c r="E67" s="21"/>
      <c r="F67" s="21"/>
      <c r="G67" s="21"/>
      <c r="H67" s="21"/>
      <c r="I67" s="10">
        <f>SUM(Sheet1!I45:I66)</f>
        <v>-0.06</v>
      </c>
      <c r="J67" s="10">
        <f>SUM(Sheet1!J45:J66)</f>
        <v>0</v>
      </c>
      <c r="K67" s="10">
        <f>SUM(Sheet1!K45:K66)</f>
        <v>0</v>
      </c>
      <c r="L67" s="10">
        <v>-3.94</v>
      </c>
      <c r="M67" s="10">
        <v>996</v>
      </c>
      <c r="N67" s="21"/>
      <c r="O67" s="21"/>
    </row>
    <row r="68" spans="1:15" ht="15" customHeight="1" x14ac:dyDescent="0.4">
      <c r="A68" s="19" t="s">
        <v>93</v>
      </c>
      <c r="B68" s="19"/>
      <c r="C68" s="19"/>
      <c r="D68" s="22">
        <v>996</v>
      </c>
      <c r="E68" s="22"/>
      <c r="G68" s="19" t="s">
        <v>94</v>
      </c>
      <c r="H68" s="19"/>
      <c r="I68" s="19"/>
      <c r="J68" s="22">
        <v>996</v>
      </c>
      <c r="K68" s="22"/>
    </row>
    <row r="69" spans="1:15" ht="15" customHeight="1" x14ac:dyDescent="0.4">
      <c r="A69" s="19" t="s">
        <v>95</v>
      </c>
      <c r="B69" s="19"/>
      <c r="C69" s="19"/>
      <c r="D69" s="22">
        <v>0</v>
      </c>
      <c r="E69" s="22"/>
      <c r="G69" s="19" t="s">
        <v>96</v>
      </c>
      <c r="H69" s="19"/>
      <c r="I69" s="19"/>
      <c r="J69" s="22">
        <v>0</v>
      </c>
      <c r="K69" s="22"/>
    </row>
    <row r="70" spans="1:15" ht="15" customHeight="1" x14ac:dyDescent="0.4">
      <c r="A70" s="19" t="s">
        <v>97</v>
      </c>
      <c r="B70" s="19"/>
      <c r="C70" s="19"/>
      <c r="D70" s="22">
        <v>0</v>
      </c>
      <c r="E70" s="22"/>
      <c r="G70" s="19" t="s">
        <v>98</v>
      </c>
      <c r="H70" s="19"/>
      <c r="I70" s="19"/>
      <c r="J70" s="23">
        <v>0</v>
      </c>
      <c r="K70" s="23"/>
    </row>
    <row r="71" spans="1:15" ht="15" customHeight="1" x14ac:dyDescent="0.4">
      <c r="A71" s="19" t="s">
        <v>99</v>
      </c>
      <c r="B71" s="19"/>
      <c r="C71" s="19"/>
      <c r="D71" s="22">
        <v>996</v>
      </c>
      <c r="E71" s="22"/>
    </row>
    <row r="92" spans="1:15" ht="25" customHeight="1" x14ac:dyDescent="0.4">
      <c r="A92" s="14" t="s">
        <v>100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1:15" ht="15" customHeight="1" x14ac:dyDescent="0.4">
      <c r="A93" s="19" t="s">
        <v>101</v>
      </c>
      <c r="B93" s="19"/>
      <c r="C93" s="19"/>
      <c r="D93" s="22">
        <v>-4</v>
      </c>
      <c r="E93" s="19" t="s">
        <v>102</v>
      </c>
      <c r="F93" s="19"/>
      <c r="G93" s="19"/>
      <c r="H93" s="22">
        <v>13.56</v>
      </c>
      <c r="I93" s="19" t="s">
        <v>103</v>
      </c>
      <c r="J93" s="19"/>
      <c r="K93" s="19"/>
      <c r="L93" s="22">
        <v>-17.559999999999999</v>
      </c>
      <c r="M93" s="22"/>
      <c r="N93" s="22"/>
    </row>
    <row r="94" spans="1:15" ht="15" customHeight="1" x14ac:dyDescent="0.4">
      <c r="A94" s="19" t="s">
        <v>104</v>
      </c>
      <c r="B94" s="19"/>
      <c r="C94" s="19"/>
      <c r="D94" s="22">
        <v>0.77220999999999995</v>
      </c>
      <c r="E94" s="19" t="s">
        <v>105</v>
      </c>
      <c r="F94" s="19"/>
      <c r="G94" s="19"/>
      <c r="H94" s="22">
        <v>-0.36363600000000001</v>
      </c>
    </row>
    <row r="95" spans="1:15" ht="15" customHeight="1" x14ac:dyDescent="0.4">
      <c r="A95" s="19" t="s">
        <v>106</v>
      </c>
      <c r="B95" s="19"/>
      <c r="C95" s="19"/>
      <c r="D95" s="22">
        <v>-0.44792799999999999</v>
      </c>
      <c r="E95" s="19" t="s">
        <v>107</v>
      </c>
      <c r="F95" s="19"/>
      <c r="G95" s="19"/>
      <c r="H95" s="22">
        <v>-0.124873</v>
      </c>
    </row>
    <row r="96" spans="1:15" ht="15" customHeight="1" x14ac:dyDescent="0.4">
      <c r="A96" s="19" t="s">
        <v>108</v>
      </c>
      <c r="B96" s="19"/>
      <c r="C96" s="19"/>
    </row>
    <row r="97" spans="1:14" ht="15" customHeight="1" x14ac:dyDescent="0.4">
      <c r="A97" s="19" t="s">
        <v>109</v>
      </c>
      <c r="B97" s="19"/>
      <c r="C97" s="19"/>
      <c r="D97" s="22">
        <v>8.93</v>
      </c>
      <c r="E97" s="19" t="s">
        <v>110</v>
      </c>
      <c r="F97" s="19"/>
      <c r="G97" s="19"/>
      <c r="H97" s="24" t="s">
        <v>111</v>
      </c>
      <c r="I97" s="19" t="s">
        <v>112</v>
      </c>
      <c r="J97" s="19"/>
      <c r="K97" s="19"/>
      <c r="L97" s="24" t="s">
        <v>113</v>
      </c>
      <c r="M97" s="24"/>
      <c r="N97" s="24"/>
    </row>
    <row r="98" spans="1:14" ht="15" customHeight="1" x14ac:dyDescent="0.4">
      <c r="A98" s="19" t="s">
        <v>114</v>
      </c>
      <c r="B98" s="19"/>
      <c r="C98" s="19"/>
      <c r="D98" s="25">
        <v>11</v>
      </c>
      <c r="E98" s="19" t="s">
        <v>115</v>
      </c>
      <c r="F98" s="19"/>
      <c r="G98" s="19"/>
      <c r="H98" s="24" t="s">
        <v>116</v>
      </c>
      <c r="I98" s="19" t="s">
        <v>117</v>
      </c>
      <c r="J98" s="19"/>
      <c r="K98" s="19"/>
      <c r="L98" s="24" t="s">
        <v>118</v>
      </c>
      <c r="M98" s="24"/>
      <c r="N98" s="24"/>
    </row>
    <row r="99" spans="1:14" ht="15" customHeight="1" x14ac:dyDescent="0.4">
      <c r="E99" s="19" t="s">
        <v>119</v>
      </c>
      <c r="F99" s="19"/>
      <c r="G99" s="19"/>
      <c r="H99" s="24" t="s">
        <v>120</v>
      </c>
      <c r="I99" s="19" t="s">
        <v>121</v>
      </c>
      <c r="J99" s="19"/>
      <c r="K99" s="19"/>
      <c r="L99" s="24" t="s">
        <v>122</v>
      </c>
      <c r="M99" s="24"/>
      <c r="N99" s="24"/>
    </row>
    <row r="100" spans="1:14" ht="15" customHeight="1" x14ac:dyDescent="0.4">
      <c r="E100" s="19" t="s">
        <v>123</v>
      </c>
      <c r="F100" s="19"/>
      <c r="G100" s="19"/>
      <c r="H100" s="22">
        <v>3.31</v>
      </c>
      <c r="I100" s="19" t="s">
        <v>124</v>
      </c>
      <c r="J100" s="19"/>
      <c r="K100" s="19"/>
      <c r="L100" s="22">
        <v>-3.29</v>
      </c>
      <c r="M100" s="22"/>
      <c r="N100" s="22"/>
    </row>
    <row r="101" spans="1:14" ht="15" customHeight="1" x14ac:dyDescent="0.4">
      <c r="E101" s="19" t="s">
        <v>125</v>
      </c>
      <c r="F101" s="19"/>
      <c r="G101" s="19"/>
      <c r="H101" s="22">
        <v>2.7120000000000002</v>
      </c>
      <c r="I101" s="19" t="s">
        <v>126</v>
      </c>
      <c r="J101" s="19"/>
      <c r="K101" s="19"/>
      <c r="L101" s="22">
        <v>-2.9266670000000001</v>
      </c>
      <c r="M101" s="22"/>
      <c r="N101" s="22"/>
    </row>
    <row r="102" spans="1:14" ht="15" customHeight="1" x14ac:dyDescent="0.4">
      <c r="E102" s="19" t="s">
        <v>127</v>
      </c>
      <c r="F102" s="19"/>
      <c r="G102" s="19"/>
      <c r="H102" s="24" t="s">
        <v>128</v>
      </c>
      <c r="I102" s="19" t="s">
        <v>129</v>
      </c>
      <c r="J102" s="19"/>
      <c r="K102" s="19"/>
      <c r="L102" s="24" t="s">
        <v>130</v>
      </c>
      <c r="M102" s="24"/>
      <c r="N102" s="24"/>
    </row>
    <row r="103" spans="1:14" ht="15" customHeight="1" x14ac:dyDescent="0.4">
      <c r="E103" s="19" t="s">
        <v>131</v>
      </c>
      <c r="F103" s="19"/>
      <c r="G103" s="19"/>
      <c r="H103" s="24" t="s">
        <v>132</v>
      </c>
      <c r="I103" s="19" t="s">
        <v>133</v>
      </c>
      <c r="J103" s="19"/>
      <c r="K103" s="19"/>
      <c r="L103" s="24" t="s">
        <v>134</v>
      </c>
      <c r="M103" s="24"/>
      <c r="N103" s="24"/>
    </row>
    <row r="104" spans="1:14" ht="15" customHeight="1" x14ac:dyDescent="0.4">
      <c r="E104" s="19" t="s">
        <v>135</v>
      </c>
      <c r="F104" s="19"/>
      <c r="G104" s="19"/>
      <c r="H104" s="25">
        <v>3</v>
      </c>
      <c r="I104" s="19" t="s">
        <v>136</v>
      </c>
      <c r="J104" s="19"/>
      <c r="K104" s="19"/>
      <c r="L104" s="25">
        <v>2</v>
      </c>
      <c r="M104" s="25"/>
      <c r="N104" s="25"/>
    </row>
  </sheetData>
  <mergeCells count="184">
    <mergeCell ref="E102:G102"/>
    <mergeCell ref="H102"/>
    <mergeCell ref="I102:K102"/>
    <mergeCell ref="L102:N102"/>
    <mergeCell ref="E103:G103"/>
    <mergeCell ref="H103"/>
    <mergeCell ref="I103:K103"/>
    <mergeCell ref="L103:N103"/>
    <mergeCell ref="E104:G104"/>
    <mergeCell ref="H104"/>
    <mergeCell ref="I104:K104"/>
    <mergeCell ref="L104:N104"/>
    <mergeCell ref="E99:G99"/>
    <mergeCell ref="H99"/>
    <mergeCell ref="I99:K99"/>
    <mergeCell ref="L99:N99"/>
    <mergeCell ref="E100:G100"/>
    <mergeCell ref="H100"/>
    <mergeCell ref="I100:K100"/>
    <mergeCell ref="L100:N100"/>
    <mergeCell ref="E101:G101"/>
    <mergeCell ref="H101"/>
    <mergeCell ref="I101:K101"/>
    <mergeCell ref="L101:N101"/>
    <mergeCell ref="A97:C97"/>
    <mergeCell ref="D97"/>
    <mergeCell ref="E97:G97"/>
    <mergeCell ref="H97"/>
    <mergeCell ref="I97:K97"/>
    <mergeCell ref="L97:N97"/>
    <mergeCell ref="A98:C98"/>
    <mergeCell ref="D98"/>
    <mergeCell ref="E98:G98"/>
    <mergeCell ref="H98"/>
    <mergeCell ref="I98:K98"/>
    <mergeCell ref="L98:N98"/>
    <mergeCell ref="A94:C94"/>
    <mergeCell ref="D94"/>
    <mergeCell ref="E94:G94"/>
    <mergeCell ref="H94"/>
    <mergeCell ref="A95:C95"/>
    <mergeCell ref="D95"/>
    <mergeCell ref="E95:G95"/>
    <mergeCell ref="H95"/>
    <mergeCell ref="A96:C96"/>
    <mergeCell ref="A70:C70"/>
    <mergeCell ref="D70:E70"/>
    <mergeCell ref="G70:I70"/>
    <mergeCell ref="J70:K70"/>
    <mergeCell ref="A71:C71"/>
    <mergeCell ref="D71:E71"/>
    <mergeCell ref="A92:O92"/>
    <mergeCell ref="A93:C93"/>
    <mergeCell ref="D93"/>
    <mergeCell ref="E93:G93"/>
    <mergeCell ref="H93"/>
    <mergeCell ref="I93:K93"/>
    <mergeCell ref="L93:N93"/>
    <mergeCell ref="A67:H67"/>
    <mergeCell ref="N67:O67"/>
    <mergeCell ref="A68:C68"/>
    <mergeCell ref="D68:E68"/>
    <mergeCell ref="G68:I68"/>
    <mergeCell ref="J68:K68"/>
    <mergeCell ref="A69:C69"/>
    <mergeCell ref="D69:E69"/>
    <mergeCell ref="G69:I69"/>
    <mergeCell ref="J69:K69"/>
    <mergeCell ref="I62"/>
    <mergeCell ref="N62:O62"/>
    <mergeCell ref="I63"/>
    <mergeCell ref="N63:O63"/>
    <mergeCell ref="I64"/>
    <mergeCell ref="N64:O64"/>
    <mergeCell ref="I65"/>
    <mergeCell ref="N65:O65"/>
    <mergeCell ref="I66"/>
    <mergeCell ref="N66:O66"/>
    <mergeCell ref="I57"/>
    <mergeCell ref="N57:O57"/>
    <mergeCell ref="I58"/>
    <mergeCell ref="N58:O58"/>
    <mergeCell ref="I59"/>
    <mergeCell ref="N59:O59"/>
    <mergeCell ref="I60"/>
    <mergeCell ref="N60:O60"/>
    <mergeCell ref="I61"/>
    <mergeCell ref="N61:O61"/>
    <mergeCell ref="I52"/>
    <mergeCell ref="N52:O52"/>
    <mergeCell ref="I53"/>
    <mergeCell ref="N53:O53"/>
    <mergeCell ref="I54"/>
    <mergeCell ref="N54:O54"/>
    <mergeCell ref="I55"/>
    <mergeCell ref="N55:O55"/>
    <mergeCell ref="I56"/>
    <mergeCell ref="N56:O56"/>
    <mergeCell ref="I47"/>
    <mergeCell ref="N47:O47"/>
    <mergeCell ref="I48"/>
    <mergeCell ref="N48:O48"/>
    <mergeCell ref="I49"/>
    <mergeCell ref="N49:O49"/>
    <mergeCell ref="I50"/>
    <mergeCell ref="N50:O50"/>
    <mergeCell ref="I51"/>
    <mergeCell ref="N51:O51"/>
    <mergeCell ref="J42:K42"/>
    <mergeCell ref="L42:O42"/>
    <mergeCell ref="A43:O43"/>
    <mergeCell ref="J44"/>
    <mergeCell ref="N44:O44"/>
    <mergeCell ref="I45"/>
    <mergeCell ref="N45:O45"/>
    <mergeCell ref="I46"/>
    <mergeCell ref="N46:O46"/>
    <mergeCell ref="J37:K37"/>
    <mergeCell ref="L37:O37"/>
    <mergeCell ref="J38:K38"/>
    <mergeCell ref="L38:O38"/>
    <mergeCell ref="J39:K39"/>
    <mergeCell ref="L39:O39"/>
    <mergeCell ref="J40:K40"/>
    <mergeCell ref="L40:O40"/>
    <mergeCell ref="J41:K41"/>
    <mergeCell ref="L41:O41"/>
    <mergeCell ref="J32:K32"/>
    <mergeCell ref="L32:O32"/>
    <mergeCell ref="J33:K33"/>
    <mergeCell ref="L33:O33"/>
    <mergeCell ref="J34:K34"/>
    <mergeCell ref="L34:O34"/>
    <mergeCell ref="J35:K35"/>
    <mergeCell ref="L35:O35"/>
    <mergeCell ref="J36:K36"/>
    <mergeCell ref="L36:O36"/>
    <mergeCell ref="J27:K27"/>
    <mergeCell ref="L27:O27"/>
    <mergeCell ref="J28:K28"/>
    <mergeCell ref="L28:O28"/>
    <mergeCell ref="J29:K29"/>
    <mergeCell ref="L29:O29"/>
    <mergeCell ref="J30:K30"/>
    <mergeCell ref="L30:O30"/>
    <mergeCell ref="J31:K31"/>
    <mergeCell ref="L31:O31"/>
    <mergeCell ref="J22:K22"/>
    <mergeCell ref="L22:O22"/>
    <mergeCell ref="J23:K23"/>
    <mergeCell ref="L23:O23"/>
    <mergeCell ref="J24:K24"/>
    <mergeCell ref="L24:O24"/>
    <mergeCell ref="J25:K25"/>
    <mergeCell ref="L25:O25"/>
    <mergeCell ref="J26:K26"/>
    <mergeCell ref="L26:O26"/>
    <mergeCell ref="M15:O15"/>
    <mergeCell ref="M16:O16"/>
    <mergeCell ref="M17:O17"/>
    <mergeCell ref="M18:O18"/>
    <mergeCell ref="A19:O19"/>
    <mergeCell ref="J20:K20"/>
    <mergeCell ref="L20:O20"/>
    <mergeCell ref="J21:K21"/>
    <mergeCell ref="L21:O21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25684767:client</dc:subject>
  <dc:creator>Vantage Markets (Pty) Ltd</dc:creator>
  <dc:description>Trade history report contains client positions and orders history</dc:description>
  <cp:lastModifiedBy>Alexander Sepúlveda</cp:lastModifiedBy>
  <dcterms:created xsi:type="dcterms:W3CDTF">2026-07-06T17:21:00Z</dcterms:created>
  <dcterms:modified xsi:type="dcterms:W3CDTF">2026-07-06T15:25:20Z</dcterms:modified>
  <cp:category>Reports</cp:category>
</cp:coreProperties>
</file>